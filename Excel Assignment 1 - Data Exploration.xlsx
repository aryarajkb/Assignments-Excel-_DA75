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1330EC1-4BAF-48EB-AADB-BB45D255EA0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tions" sheetId="1" r:id="rId1"/>
    <sheet name="Dataset" sheetId="2" r:id="rId2"/>
    <sheet name="Sheet1" sheetId="3" r:id="rId3"/>
  </sheets>
  <definedNames>
    <definedName name="_xlnm._FilterDatabase" localSheetId="2" hidden="1">Sheet1!$F$1:$F$1000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2" i="3"/>
  <c r="L35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2" i="3"/>
  <c r="C64" i="3"/>
  <c r="C6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C53" i="3"/>
  <c r="C51" i="3"/>
  <c r="D45" i="3"/>
  <c r="D36" i="3"/>
</calcChain>
</file>

<file path=xl/sharedStrings.xml><?xml version="1.0" encoding="utf-8"?>
<sst xmlns="http://schemas.openxmlformats.org/spreadsheetml/2006/main" count="322" uniqueCount="114">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</sst>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5" borderId="0" xfId="0" applyFill="1"/>
    <xf numFmtId="0" fontId="7" fillId="6" borderId="0" xfId="0" applyFont="1" applyFill="1"/>
    <xf numFmtId="0" fontId="1" fillId="5" borderId="0" xfId="0" applyFont="1" applyFill="1"/>
    <xf numFmtId="0" fontId="2" fillId="5" borderId="0" xfId="0" applyFont="1" applyFill="1"/>
    <xf numFmtId="0" fontId="3" fillId="5" borderId="0" xfId="0" applyFont="1" applyFill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:K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20"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7897-7EC6-4A27-B78A-CC312F730BE4}">
  <dimension ref="A1:M1000"/>
  <sheetViews>
    <sheetView tabSelected="1" workbookViewId="0">
      <selection activeCell="P11" sqref="P11"/>
    </sheetView>
  </sheetViews>
  <sheetFormatPr defaultColWidth="12.6640625" defaultRowHeight="13.2" x14ac:dyDescent="0.25"/>
  <cols>
    <col min="2" max="2" width="14.109375" customWidth="1"/>
    <col min="10" max="10" width="13.77734375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J1" s="11" t="s">
        <v>110</v>
      </c>
      <c r="K1" s="11" t="s">
        <v>111</v>
      </c>
      <c r="L1" s="11" t="s">
        <v>112</v>
      </c>
      <c r="M1" s="11" t="s">
        <v>113</v>
      </c>
    </row>
    <row r="2" spans="1:13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  <c r="J2" t="str">
        <f>IF(D2&gt;=500,"High Price","Standard Price")</f>
        <v>High Price</v>
      </c>
      <c r="K2" t="str">
        <f>LEFT(A2,2)</f>
        <v>28</v>
      </c>
      <c r="L2" t="str">
        <f>RIGHT(A2,2)</f>
        <v>US</v>
      </c>
      <c r="M2" t="str">
        <f>MID(A2,4,3)</f>
        <v>JAN</v>
      </c>
    </row>
    <row r="3" spans="1:13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  <c r="J3" t="str">
        <f t="shared" ref="J3:J35" si="0">IF(D3&gt;=500,"High Price","Standard Price")</f>
        <v>Standard Price</v>
      </c>
      <c r="K3" t="str">
        <f t="shared" ref="K3:K35" si="1">LEFT(A3,2)</f>
        <v>15</v>
      </c>
      <c r="L3" t="str">
        <f t="shared" ref="L3:L34" si="2">RIGHT(A3,2)</f>
        <v>US</v>
      </c>
      <c r="M3" t="str">
        <f t="shared" ref="M3:M35" si="3">MID(A3,4,3)</f>
        <v>FEB</v>
      </c>
    </row>
    <row r="4" spans="1:13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  <c r="J4" t="str">
        <f t="shared" si="0"/>
        <v>Standard Price</v>
      </c>
      <c r="K4" t="str">
        <f t="shared" si="1"/>
        <v>03</v>
      </c>
      <c r="L4" t="str">
        <f t="shared" si="2"/>
        <v>US</v>
      </c>
      <c r="M4" t="str">
        <f t="shared" si="3"/>
        <v>MAR</v>
      </c>
    </row>
    <row r="5" spans="1:13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J5" t="str">
        <f t="shared" si="0"/>
        <v>High Price</v>
      </c>
      <c r="K5" t="str">
        <f t="shared" si="1"/>
        <v>11</v>
      </c>
      <c r="L5" t="str">
        <f t="shared" si="2"/>
        <v>US</v>
      </c>
      <c r="M5" t="str">
        <f t="shared" si="3"/>
        <v>APR</v>
      </c>
    </row>
    <row r="6" spans="1:13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J6" t="str">
        <f t="shared" si="0"/>
        <v>Standard Price</v>
      </c>
      <c r="K6" t="str">
        <f t="shared" si="1"/>
        <v>22</v>
      </c>
      <c r="L6" t="str">
        <f t="shared" si="2"/>
        <v>US</v>
      </c>
      <c r="M6" t="str">
        <f t="shared" si="3"/>
        <v>MAY</v>
      </c>
    </row>
    <row r="7" spans="1:13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  <c r="J7" t="str">
        <f t="shared" si="0"/>
        <v>Standard Price</v>
      </c>
      <c r="K7" t="str">
        <f t="shared" si="1"/>
        <v>07</v>
      </c>
      <c r="L7" t="str">
        <f t="shared" si="2"/>
        <v>UK</v>
      </c>
      <c r="M7" t="str">
        <f t="shared" si="3"/>
        <v>JUN</v>
      </c>
    </row>
    <row r="8" spans="1:13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  <c r="J8" t="str">
        <f t="shared" si="0"/>
        <v>Standard Price</v>
      </c>
      <c r="K8" t="str">
        <f t="shared" si="1"/>
        <v>19</v>
      </c>
      <c r="L8" t="str">
        <f t="shared" si="2"/>
        <v>UK</v>
      </c>
      <c r="M8" t="str">
        <f t="shared" si="3"/>
        <v>JUL</v>
      </c>
    </row>
    <row r="9" spans="1:13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  <c r="J9" t="str">
        <f t="shared" si="0"/>
        <v>Standard Price</v>
      </c>
      <c r="K9" t="str">
        <f t="shared" si="1"/>
        <v>23</v>
      </c>
      <c r="L9" t="str">
        <f t="shared" si="2"/>
        <v>UK</v>
      </c>
      <c r="M9" t="str">
        <f t="shared" si="3"/>
        <v>AUG</v>
      </c>
    </row>
    <row r="10" spans="1:13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  <c r="J10" t="str">
        <f t="shared" si="0"/>
        <v>High Price</v>
      </c>
      <c r="K10" t="str">
        <f t="shared" si="1"/>
        <v>05</v>
      </c>
      <c r="L10" t="str">
        <f t="shared" si="2"/>
        <v>UK</v>
      </c>
      <c r="M10" t="str">
        <f t="shared" si="3"/>
        <v>SEP</v>
      </c>
    </row>
    <row r="11" spans="1:13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  <c r="J11" t="str">
        <f t="shared" si="0"/>
        <v>Standard Price</v>
      </c>
      <c r="K11" t="str">
        <f t="shared" si="1"/>
        <v>14</v>
      </c>
      <c r="L11" t="str">
        <f t="shared" si="2"/>
        <v>UK</v>
      </c>
      <c r="M11" t="str">
        <f t="shared" si="3"/>
        <v>OCT</v>
      </c>
    </row>
    <row r="12" spans="1:13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  <c r="J12" t="str">
        <f t="shared" si="0"/>
        <v>High Price</v>
      </c>
      <c r="K12" t="str">
        <f t="shared" si="1"/>
        <v>17</v>
      </c>
      <c r="L12" t="str">
        <f t="shared" si="2"/>
        <v>IN</v>
      </c>
      <c r="M12" t="str">
        <f t="shared" si="3"/>
        <v>JUN</v>
      </c>
    </row>
    <row r="13" spans="1:13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  <c r="J13" t="str">
        <f t="shared" si="0"/>
        <v>Standard Price</v>
      </c>
      <c r="K13" t="str">
        <f t="shared" si="1"/>
        <v>25</v>
      </c>
      <c r="L13" t="str">
        <f t="shared" si="2"/>
        <v>AU</v>
      </c>
      <c r="M13" t="str">
        <f t="shared" si="3"/>
        <v>NOV</v>
      </c>
    </row>
    <row r="14" spans="1:13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  <c r="J14" t="str">
        <f t="shared" si="0"/>
        <v>Standard Price</v>
      </c>
      <c r="K14" t="str">
        <f t="shared" si="1"/>
        <v>08</v>
      </c>
      <c r="L14" t="str">
        <f t="shared" si="2"/>
        <v>DE</v>
      </c>
      <c r="M14" t="str">
        <f t="shared" si="3"/>
        <v>DEC</v>
      </c>
    </row>
    <row r="15" spans="1:13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  <c r="J15" t="str">
        <f t="shared" si="0"/>
        <v>Standard Price</v>
      </c>
      <c r="K15" t="str">
        <f t="shared" si="1"/>
        <v>18</v>
      </c>
      <c r="L15" t="str">
        <f t="shared" si="2"/>
        <v>CA</v>
      </c>
      <c r="M15" t="str">
        <f t="shared" si="3"/>
        <v>FEB</v>
      </c>
    </row>
    <row r="16" spans="1:13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  <c r="J16" t="str">
        <f t="shared" si="0"/>
        <v>Standard Price</v>
      </c>
      <c r="K16" t="str">
        <f t="shared" si="1"/>
        <v>16</v>
      </c>
      <c r="L16" t="str">
        <f t="shared" si="2"/>
        <v>ES</v>
      </c>
      <c r="M16" t="str">
        <f t="shared" si="3"/>
        <v>APR</v>
      </c>
    </row>
    <row r="17" spans="1:13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  <c r="J17" t="str">
        <f t="shared" si="0"/>
        <v>Standard Price</v>
      </c>
      <c r="K17" t="str">
        <f t="shared" si="1"/>
        <v>21</v>
      </c>
      <c r="L17" t="str">
        <f t="shared" si="2"/>
        <v>CA</v>
      </c>
      <c r="M17" t="str">
        <f t="shared" si="3"/>
        <v>AUG</v>
      </c>
    </row>
    <row r="18" spans="1:13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  <c r="J18" t="str">
        <f t="shared" si="0"/>
        <v>Standard Price</v>
      </c>
      <c r="K18" t="str">
        <f t="shared" si="1"/>
        <v>20</v>
      </c>
      <c r="L18" t="str">
        <f t="shared" si="2"/>
        <v>CN</v>
      </c>
      <c r="M18" t="str">
        <f t="shared" si="3"/>
        <v>AUG</v>
      </c>
    </row>
    <row r="19" spans="1:13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  <c r="J19" t="str">
        <f t="shared" si="0"/>
        <v>High Price</v>
      </c>
      <c r="K19" t="str">
        <f t="shared" si="1"/>
        <v>27</v>
      </c>
      <c r="L19" t="str">
        <f t="shared" si="2"/>
        <v>IT</v>
      </c>
      <c r="M19" t="str">
        <f t="shared" si="3"/>
        <v>JAN</v>
      </c>
    </row>
    <row r="20" spans="1:13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  <c r="J20" t="str">
        <f t="shared" si="0"/>
        <v>Standard Price</v>
      </c>
      <c r="K20" t="str">
        <f t="shared" si="1"/>
        <v>01</v>
      </c>
      <c r="L20" t="str">
        <f t="shared" si="2"/>
        <v>UK</v>
      </c>
      <c r="M20" t="str">
        <f t="shared" si="3"/>
        <v>MAR</v>
      </c>
    </row>
    <row r="21" spans="1:13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  <c r="J21" t="str">
        <f t="shared" si="0"/>
        <v>Standard Price</v>
      </c>
      <c r="K21" t="str">
        <f t="shared" si="1"/>
        <v>14</v>
      </c>
      <c r="L21" t="str">
        <f t="shared" si="2"/>
        <v>US</v>
      </c>
      <c r="M21" t="str">
        <f t="shared" si="3"/>
        <v>AUG</v>
      </c>
    </row>
    <row r="22" spans="1:13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  <c r="J22" t="str">
        <f t="shared" si="0"/>
        <v>High Price</v>
      </c>
      <c r="K22" t="str">
        <f t="shared" si="1"/>
        <v>14</v>
      </c>
      <c r="L22" t="str">
        <f t="shared" si="2"/>
        <v>RU</v>
      </c>
      <c r="M22" t="str">
        <f t="shared" si="3"/>
        <v>MAY</v>
      </c>
    </row>
    <row r="23" spans="1:13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  <c r="J23" t="str">
        <f t="shared" si="0"/>
        <v>Standard Price</v>
      </c>
      <c r="K23" t="str">
        <f t="shared" si="1"/>
        <v>09</v>
      </c>
      <c r="L23" t="str">
        <f t="shared" si="2"/>
        <v>CA</v>
      </c>
      <c r="M23" t="str">
        <f t="shared" si="3"/>
        <v>JAN</v>
      </c>
    </row>
    <row r="24" spans="1:13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  <c r="J24" t="str">
        <f t="shared" si="0"/>
        <v>Standard Price</v>
      </c>
      <c r="K24" t="str">
        <f t="shared" si="1"/>
        <v>19</v>
      </c>
      <c r="L24" t="str">
        <f t="shared" si="2"/>
        <v>BR</v>
      </c>
      <c r="M24" t="str">
        <f t="shared" si="3"/>
        <v>JUL</v>
      </c>
    </row>
    <row r="25" spans="1:13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/>
      <c r="J25" t="str">
        <f t="shared" si="0"/>
        <v>Standard Price</v>
      </c>
      <c r="K25" t="str">
        <f t="shared" si="1"/>
        <v>21</v>
      </c>
      <c r="L25" t="str">
        <f t="shared" si="2"/>
        <v>CA</v>
      </c>
      <c r="M25" t="str">
        <f t="shared" si="3"/>
        <v>AUG</v>
      </c>
    </row>
    <row r="26" spans="1:13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  <c r="J26" t="str">
        <f t="shared" si="0"/>
        <v>High Price</v>
      </c>
      <c r="K26" t="str">
        <f t="shared" si="1"/>
        <v>29</v>
      </c>
      <c r="L26" t="str">
        <f t="shared" si="2"/>
        <v>CA</v>
      </c>
      <c r="M26" t="str">
        <f t="shared" si="3"/>
        <v>SEP</v>
      </c>
    </row>
    <row r="27" spans="1:13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  <c r="J27" t="str">
        <f t="shared" si="0"/>
        <v>Standard Price</v>
      </c>
      <c r="K27" t="str">
        <f t="shared" si="1"/>
        <v>03</v>
      </c>
      <c r="L27" t="str">
        <f t="shared" si="2"/>
        <v>CA</v>
      </c>
      <c r="M27" t="str">
        <f t="shared" si="3"/>
        <v>JUN</v>
      </c>
    </row>
    <row r="28" spans="1:13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  <c r="J28" t="str">
        <f t="shared" si="0"/>
        <v>Standard Price</v>
      </c>
      <c r="K28" t="str">
        <f t="shared" si="1"/>
        <v>11</v>
      </c>
      <c r="L28" t="str">
        <f t="shared" si="2"/>
        <v>CA</v>
      </c>
      <c r="M28" t="str">
        <f t="shared" si="3"/>
        <v>JUL</v>
      </c>
    </row>
    <row r="29" spans="1:13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/>
      <c r="J29" t="str">
        <f t="shared" si="0"/>
        <v>Standard Price</v>
      </c>
      <c r="K29" t="str">
        <f t="shared" si="1"/>
        <v>16</v>
      </c>
      <c r="L29" t="str">
        <f t="shared" si="2"/>
        <v>ES</v>
      </c>
      <c r="M29" t="str">
        <f t="shared" si="3"/>
        <v>APR</v>
      </c>
    </row>
    <row r="30" spans="1:13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  <c r="J30" t="str">
        <f t="shared" si="0"/>
        <v>Standard Price</v>
      </c>
      <c r="K30" t="str">
        <f t="shared" si="1"/>
        <v>07</v>
      </c>
      <c r="L30" t="str">
        <f t="shared" si="2"/>
        <v>CA</v>
      </c>
      <c r="M30" t="str">
        <f t="shared" si="3"/>
        <v>MAR</v>
      </c>
    </row>
    <row r="31" spans="1:13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  <c r="J31" t="str">
        <f t="shared" si="0"/>
        <v>Standard Price</v>
      </c>
      <c r="K31" t="str">
        <f t="shared" si="1"/>
        <v>13</v>
      </c>
      <c r="L31" t="str">
        <f t="shared" si="2"/>
        <v>CA</v>
      </c>
      <c r="M31" t="str">
        <f t="shared" si="3"/>
        <v>APR</v>
      </c>
    </row>
    <row r="32" spans="1:13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  <c r="J32" t="str">
        <f t="shared" si="0"/>
        <v>Standard Price</v>
      </c>
      <c r="K32" t="str">
        <f t="shared" si="1"/>
        <v>24</v>
      </c>
      <c r="L32" t="str">
        <f t="shared" si="2"/>
        <v>CA</v>
      </c>
      <c r="M32" t="str">
        <f t="shared" si="3"/>
        <v>MAY</v>
      </c>
    </row>
    <row r="33" spans="1:13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  <c r="J33" t="str">
        <f t="shared" si="0"/>
        <v>Standard Price</v>
      </c>
      <c r="K33" t="str">
        <f t="shared" si="1"/>
        <v>02</v>
      </c>
      <c r="L33" t="str">
        <f t="shared" si="2"/>
        <v>CA</v>
      </c>
      <c r="M33" t="str">
        <f t="shared" si="3"/>
        <v>DEC</v>
      </c>
    </row>
    <row r="34" spans="1:13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  <c r="J34" t="str">
        <f t="shared" si="0"/>
        <v>High Price</v>
      </c>
      <c r="K34" t="str">
        <f t="shared" si="1"/>
        <v>17</v>
      </c>
      <c r="L34" t="str">
        <f t="shared" si="2"/>
        <v>IN</v>
      </c>
      <c r="M34" t="str">
        <f t="shared" si="3"/>
        <v>JUN</v>
      </c>
    </row>
    <row r="35" spans="1:13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  <c r="J35" t="str">
        <f t="shared" si="0"/>
        <v>Standard Price</v>
      </c>
      <c r="K35" t="str">
        <f t="shared" si="1"/>
        <v>09</v>
      </c>
      <c r="L35" t="str">
        <f>RIGHT(A35,2)</f>
        <v>FR</v>
      </c>
      <c r="M35" t="str">
        <f t="shared" si="3"/>
        <v>JUL</v>
      </c>
    </row>
    <row r="36" spans="1:13" ht="15.75" customHeight="1" x14ac:dyDescent="0.25">
      <c r="D36">
        <f>SUM(D2:D35)</f>
        <v>10100</v>
      </c>
    </row>
    <row r="37" spans="1:13" s="10" customFormat="1" ht="15.75" customHeight="1" x14ac:dyDescent="0.25"/>
    <row r="38" spans="1:13" s="10" customFormat="1" ht="15.75" customHeight="1" x14ac:dyDescent="0.25"/>
    <row r="39" spans="1:13" s="10" customFormat="1" ht="15.75" customHeight="1" x14ac:dyDescent="0.25">
      <c r="A39" s="12" t="s">
        <v>0</v>
      </c>
    </row>
    <row r="40" spans="1:13" s="10" customFormat="1" ht="15.75" customHeight="1" x14ac:dyDescent="0.25"/>
    <row r="41" spans="1:13" s="10" customFormat="1" ht="15.75" customHeight="1" x14ac:dyDescent="0.3">
      <c r="B41" s="13" t="s">
        <v>1</v>
      </c>
    </row>
    <row r="42" spans="1:13" s="10" customFormat="1" ht="15.75" customHeight="1" x14ac:dyDescent="0.3">
      <c r="B42" s="13"/>
      <c r="C42" s="14" t="s">
        <v>2</v>
      </c>
    </row>
    <row r="43" spans="1:13" s="10" customFormat="1" ht="15.75" customHeight="1" x14ac:dyDescent="0.25">
      <c r="D43" s="10">
        <v>10100</v>
      </c>
    </row>
    <row r="44" spans="1:13" s="10" customFormat="1" ht="15.75" customHeight="1" x14ac:dyDescent="0.3">
      <c r="C44" s="14" t="s">
        <v>3</v>
      </c>
    </row>
    <row r="45" spans="1:13" s="10" customFormat="1" ht="15.75" customHeight="1" x14ac:dyDescent="0.25">
      <c r="D45" s="10">
        <f>COUNT(D2:D35)</f>
        <v>34</v>
      </c>
    </row>
    <row r="46" spans="1:13" s="10" customFormat="1" ht="15.75" customHeight="1" x14ac:dyDescent="0.3">
      <c r="C46" s="14" t="s">
        <v>4</v>
      </c>
    </row>
    <row r="47" spans="1:13" s="10" customFormat="1" ht="15.75" customHeight="1" x14ac:dyDescent="0.25">
      <c r="D47" s="10">
        <v>297.06</v>
      </c>
    </row>
    <row r="48" spans="1:13" s="10" customFormat="1" ht="15.75" customHeight="1" x14ac:dyDescent="0.25"/>
    <row r="49" spans="2:3" s="10" customFormat="1" ht="15.75" customHeight="1" x14ac:dyDescent="0.3">
      <c r="B49" s="13" t="s">
        <v>5</v>
      </c>
    </row>
    <row r="50" spans="2:3" s="10" customFormat="1" ht="15.75" customHeight="1" x14ac:dyDescent="0.3">
      <c r="C50" s="14" t="s">
        <v>6</v>
      </c>
    </row>
    <row r="51" spans="2:3" s="10" customFormat="1" ht="15.75" customHeight="1" x14ac:dyDescent="0.25">
      <c r="C51" s="10">
        <f>MIN(D2:D35)</f>
        <v>30</v>
      </c>
    </row>
    <row r="52" spans="2:3" s="10" customFormat="1" ht="15.75" customHeight="1" x14ac:dyDescent="0.3">
      <c r="C52" s="14" t="s">
        <v>7</v>
      </c>
    </row>
    <row r="53" spans="2:3" s="10" customFormat="1" ht="15.75" customHeight="1" x14ac:dyDescent="0.25">
      <c r="C53" s="10">
        <f>MAX(D2:D35)</f>
        <v>1000</v>
      </c>
    </row>
    <row r="54" spans="2:3" s="10" customFormat="1" ht="15.75" customHeight="1" x14ac:dyDescent="0.25"/>
    <row r="55" spans="2:3" s="10" customFormat="1" ht="15.75" customHeight="1" x14ac:dyDescent="0.25"/>
    <row r="56" spans="2:3" s="10" customFormat="1" ht="15.75" customHeight="1" x14ac:dyDescent="0.3">
      <c r="B56" s="13" t="s">
        <v>8</v>
      </c>
    </row>
    <row r="57" spans="2:3" s="10" customFormat="1" ht="15.75" customHeight="1" x14ac:dyDescent="0.3">
      <c r="C57" s="14" t="s">
        <v>9</v>
      </c>
    </row>
    <row r="58" spans="2:3" s="10" customFormat="1" ht="15.75" customHeight="1" x14ac:dyDescent="0.25"/>
    <row r="59" spans="2:3" s="10" customFormat="1" ht="15.75" customHeight="1" x14ac:dyDescent="0.25"/>
    <row r="60" spans="2:3" s="10" customFormat="1" ht="15.75" customHeight="1" x14ac:dyDescent="0.3">
      <c r="B60" s="13" t="s">
        <v>10</v>
      </c>
    </row>
    <row r="61" spans="2:3" s="10" customFormat="1" ht="15.75" customHeight="1" x14ac:dyDescent="0.3">
      <c r="C61" s="14" t="s">
        <v>11</v>
      </c>
    </row>
    <row r="62" spans="2:3" s="10" customFormat="1" ht="15.75" customHeight="1" x14ac:dyDescent="0.25">
      <c r="C62" s="10">
        <f>SUMIF(F2:F35,"Electronics",(D2:D35))</f>
        <v>8050</v>
      </c>
    </row>
    <row r="63" spans="2:3" s="10" customFormat="1" ht="15.75" customHeight="1" x14ac:dyDescent="0.3">
      <c r="C63" s="14" t="s">
        <v>12</v>
      </c>
    </row>
    <row r="64" spans="2:3" s="10" customFormat="1" ht="15.75" customHeight="1" x14ac:dyDescent="0.25">
      <c r="C64" s="10">
        <f>COUNTIF(D2:D35,"&lt;100")</f>
        <v>11</v>
      </c>
    </row>
    <row r="65" spans="2:3" s="10" customFormat="1" ht="15.75" customHeight="1" x14ac:dyDescent="0.25">
      <c r="B65" s="15"/>
    </row>
    <row r="66" spans="2:3" s="10" customFormat="1" ht="15.75" customHeight="1" x14ac:dyDescent="0.25"/>
    <row r="67" spans="2:3" s="10" customFormat="1" ht="15.75" customHeight="1" x14ac:dyDescent="0.3">
      <c r="B67" s="13" t="s">
        <v>13</v>
      </c>
    </row>
    <row r="68" spans="2:3" s="10" customFormat="1" ht="15.75" customHeight="1" x14ac:dyDescent="0.3">
      <c r="C68" s="14" t="s">
        <v>14</v>
      </c>
    </row>
    <row r="69" spans="2:3" s="10" customFormat="1" ht="15.75" customHeight="1" x14ac:dyDescent="0.3">
      <c r="C69" s="14" t="s">
        <v>15</v>
      </c>
    </row>
    <row r="70" spans="2:3" s="10" customFormat="1" ht="15.75" customHeight="1" x14ac:dyDescent="0.3">
      <c r="C70" s="14" t="s">
        <v>16</v>
      </c>
    </row>
    <row r="71" spans="2:3" s="10" customFormat="1" ht="15.75" customHeight="1" x14ac:dyDescent="0.25"/>
    <row r="72" spans="2:3" s="10" customFormat="1" ht="15.75" customHeight="1" x14ac:dyDescent="0.25"/>
    <row r="73" spans="2:3" ht="15.75" customHeight="1" x14ac:dyDescent="0.25"/>
    <row r="74" spans="2:3" ht="15.75" customHeight="1" x14ac:dyDescent="0.25"/>
    <row r="75" spans="2:3" ht="15.75" customHeight="1" x14ac:dyDescent="0.25"/>
    <row r="76" spans="2:3" ht="15.75" customHeight="1" x14ac:dyDescent="0.25"/>
    <row r="77" spans="2:3" ht="15.75" customHeight="1" x14ac:dyDescent="0.25"/>
    <row r="78" spans="2:3" ht="15.75" customHeight="1" x14ac:dyDescent="0.25"/>
    <row r="79" spans="2:3" ht="15.75" customHeight="1" x14ac:dyDescent="0.25"/>
    <row r="80" spans="2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arjjnraj5526@gmail.com</cp:lastModifiedBy>
  <dcterms:modified xsi:type="dcterms:W3CDTF">2026-10-02T09:20:29Z</dcterms:modified>
</cp:coreProperties>
</file>